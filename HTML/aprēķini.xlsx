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ri.riga.lv\rv1g\Audzekni\apiliksers2\My Documents\Skolotajai\MD\"/>
    </mc:Choice>
  </mc:AlternateContent>
  <xr:revisionPtr revIDLastSave="0" documentId="13_ncr:1_{C584BE3E-901F-4994-8D7E-71C463C3DC5E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8" l="1"/>
  <c r="F15" i="8"/>
  <c r="F14" i="8"/>
  <c r="F13" i="8"/>
  <c r="B5" i="4"/>
  <c r="B6" i="4"/>
  <c r="B7" i="4"/>
  <c r="B8" i="4"/>
  <c r="B9" i="4"/>
  <c r="B10" i="4"/>
  <c r="B11" i="4"/>
  <c r="B12" i="4"/>
  <c r="B13" i="4"/>
  <c r="B4" i="4"/>
  <c r="E8" i="5"/>
  <c r="E14" i="5"/>
  <c r="E5" i="5"/>
  <c r="E6" i="5"/>
  <c r="E7" i="5"/>
  <c r="E9" i="5"/>
  <c r="E10" i="5"/>
  <c r="E11" i="5"/>
  <c r="E12" i="5"/>
  <c r="E13" i="5"/>
  <c r="E15" i="5"/>
  <c r="E4" i="5"/>
  <c r="F8" i="8"/>
  <c r="F7" i="8"/>
  <c r="F11" i="8"/>
  <c r="F12" i="8"/>
  <c r="G6" i="6"/>
  <c r="G7" i="6"/>
  <c r="G8" i="6"/>
  <c r="G5" i="6"/>
  <c r="F6" i="6"/>
  <c r="F7" i="6"/>
  <c r="F8" i="6"/>
  <c r="E6" i="6"/>
  <c r="E7" i="6"/>
  <c r="E8" i="6"/>
  <c r="D6" i="6"/>
  <c r="D7" i="6"/>
  <c r="D8" i="6"/>
  <c r="D5" i="6"/>
  <c r="E5" i="6"/>
  <c r="F5" i="6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C9" i="7"/>
  <c r="D9" i="7"/>
  <c r="E9" i="7"/>
  <c r="F9" i="7"/>
  <c r="G9" i="7"/>
  <c r="H9" i="7"/>
  <c r="I9" i="7"/>
  <c r="J9" i="7"/>
  <c r="K9" i="7"/>
  <c r="B9" i="7"/>
  <c r="B6" i="3"/>
  <c r="B7" i="3"/>
  <c r="B5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<sst xmlns="http://schemas.openxmlformats.org/spreadsheetml/2006/main" count="54" uniqueCount="52">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</sst>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  <numFmt numFmtId="167" formatCode="_-* #,##0.00\ _€_-;\-* #,##0.00\ _€_-;_-* &quot;-&quot;??\ _€_-;_-@_-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9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Border="1" applyAlignment="1">
      <alignment horizontal="center" wrapText="1"/>
    </xf>
    <xf numFmtId="0" fontId="11" fillId="0" borderId="0" xfId="5" applyFont="1" applyBorder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0" fontId="0" fillId="0" borderId="0" xfId="0" applyBorder="1"/>
    <xf numFmtId="167" fontId="0" fillId="3" borderId="2" xfId="0" applyNumberFormat="1" applyFill="1" applyBorder="1"/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Border="1" applyAlignment="1">
      <alignment horizontal="center" vertical="center" wrapText="1"/>
    </xf>
    <xf numFmtId="0" fontId="11" fillId="0" borderId="0" xfId="5" applyFont="1" applyBorder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center" vertical="center" wrapText="1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167" fontId="0" fillId="0" borderId="0" xfId="0" applyNumberFormat="1"/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workbookViewId="0">
      <selection activeCell="B6" sqref="B6"/>
    </sheetView>
  </sheetViews>
  <sheetFormatPr defaultColWidth="8.85546875" defaultRowHeight="18" x14ac:dyDescent="0.25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 x14ac:dyDescent="0.3">
      <c r="A1" s="37" t="s">
        <v>30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.75" thickTop="1" x14ac:dyDescent="0.25"/>
    <row r="3" spans="1:22" ht="26.45" customHeight="1" x14ac:dyDescent="0.25">
      <c r="A3" s="2" t="s">
        <v>0</v>
      </c>
      <c r="B3" s="2" t="s">
        <v>31</v>
      </c>
    </row>
    <row r="4" spans="1:22" x14ac:dyDescent="0.25">
      <c r="A4" s="4">
        <v>1</v>
      </c>
      <c r="B4" s="24">
        <f>IF(A4&lt;3,A4*3.2,A4*2.9)</f>
        <v>3.2</v>
      </c>
    </row>
    <row r="5" spans="1:22" x14ac:dyDescent="0.25">
      <c r="A5" s="4">
        <v>2</v>
      </c>
      <c r="B5" s="24">
        <f>IF(A5&lt;3,A5*3.2,A5*2.9)</f>
        <v>6.4</v>
      </c>
    </row>
    <row r="6" spans="1:22" x14ac:dyDescent="0.25">
      <c r="A6" s="4">
        <v>3</v>
      </c>
      <c r="B6" s="24">
        <f>IF(A6&lt;3,A6*3.2,A6*2.9)</f>
        <v>8.6999999999999993</v>
      </c>
    </row>
    <row r="7" spans="1:22" x14ac:dyDescent="0.25">
      <c r="A7" s="4">
        <v>4</v>
      </c>
      <c r="B7" s="24">
        <f>IF(A7&lt;3,A7*3.2,A7*2.9)</f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H23" sqref="H23"/>
    </sheetView>
  </sheetViews>
  <sheetFormatPr defaultRowHeight="15" x14ac:dyDescent="0.25"/>
  <cols>
    <col min="1" max="1" width="5.85546875" customWidth="1"/>
  </cols>
  <sheetData>
    <row r="1" spans="1:13" ht="20.25" customHeight="1" x14ac:dyDescent="0.3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3">
      <c r="A2" s="39" t="s">
        <v>50</v>
      </c>
      <c r="B2" s="39"/>
      <c r="C2" s="39"/>
      <c r="D2" s="39"/>
      <c r="E2" s="39"/>
      <c r="F2" s="39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3">
      <c r="A3" s="40" t="s">
        <v>51</v>
      </c>
      <c r="B3" s="40"/>
      <c r="C3" s="40"/>
      <c r="D3" s="40"/>
      <c r="E3" s="40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3">
      <c r="A4" s="40" t="s">
        <v>36</v>
      </c>
      <c r="B4" s="40"/>
      <c r="C4" s="40"/>
      <c r="D4" s="40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5">
      <c r="A5" s="41" t="s">
        <v>37</v>
      </c>
      <c r="B5" s="41"/>
      <c r="C5" s="41"/>
      <c r="D5" s="41"/>
      <c r="E5" s="41"/>
      <c r="F5" s="41"/>
      <c r="G5" s="41"/>
      <c r="H5" s="41"/>
      <c r="I5" s="25"/>
      <c r="J5" s="25"/>
      <c r="K5" s="25"/>
      <c r="L5" s="25"/>
      <c r="M5" s="25"/>
    </row>
    <row r="6" spans="1:13" ht="20.25" customHeight="1" thickTop="1" x14ac:dyDescent="0.25"/>
    <row r="7" spans="1:13" ht="20.25" customHeight="1" x14ac:dyDescent="0.25"/>
    <row r="8" spans="1:13" ht="30.75" customHeight="1" x14ac:dyDescent="0.25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5">
      <c r="A9" s="28">
        <v>2</v>
      </c>
      <c r="B9" s="31">
        <f>SQRT(B$8^2+$A9^2-2*$A9*B$8*COS(RADIANS(24)))</f>
        <v>1.160094034735804</v>
      </c>
      <c r="C9" s="31">
        <f t="shared" ref="C9:K18" si="0">SQRT(C$8^2+$A9^2-2*$A9*C$8*COS(RADIANS(24)))</f>
        <v>1.4273943072216553</v>
      </c>
      <c r="D9" s="31">
        <f t="shared" si="0"/>
        <v>3.275529094230119</v>
      </c>
      <c r="E9" s="31">
        <f t="shared" si="0"/>
        <v>5.2364804197100918</v>
      </c>
      <c r="F9" s="31">
        <f t="shared" si="0"/>
        <v>7.2188893553555982</v>
      </c>
      <c r="G9" s="31">
        <f t="shared" si="0"/>
        <v>9.2089087227383004</v>
      </c>
      <c r="H9" s="31">
        <f t="shared" si="0"/>
        <v>11.202483483700602</v>
      </c>
      <c r="I9" s="31">
        <f t="shared" si="0"/>
        <v>13.198002596659993</v>
      </c>
      <c r="J9" s="31">
        <f t="shared" si="0"/>
        <v>15.194700026005881</v>
      </c>
      <c r="K9" s="31">
        <f t="shared" si="0"/>
        <v>17.192165227776353</v>
      </c>
    </row>
    <row r="10" spans="1:13" x14ac:dyDescent="0.25">
      <c r="A10" s="28">
        <v>4</v>
      </c>
      <c r="B10" s="31">
        <f t="shared" ref="B10:B18" si="1">SQRT(B$8^2+$A10^2-2*$A10*B$8*COS(RADIANS(24)))</f>
        <v>3.1131393060477062</v>
      </c>
      <c r="C10" s="31">
        <f t="shared" si="0"/>
        <v>1.7535418491092758</v>
      </c>
      <c r="D10" s="31">
        <f t="shared" si="0"/>
        <v>2.1114406679554047</v>
      </c>
      <c r="E10" s="31">
        <f t="shared" si="0"/>
        <v>3.7204105112224317</v>
      </c>
      <c r="F10" s="31">
        <f t="shared" si="0"/>
        <v>5.5879090051407188</v>
      </c>
      <c r="G10" s="31">
        <f t="shared" si="0"/>
        <v>7.5238287944005693</v>
      </c>
      <c r="H10" s="31">
        <f t="shared" si="0"/>
        <v>9.4863729847170521</v>
      </c>
      <c r="I10" s="31">
        <f t="shared" si="0"/>
        <v>11.461873541567622</v>
      </c>
      <c r="J10" s="31">
        <f t="shared" si="0"/>
        <v>13.444620402250347</v>
      </c>
      <c r="K10" s="31">
        <f t="shared" si="0"/>
        <v>15.431820710412776</v>
      </c>
    </row>
    <row r="11" spans="1:13" x14ac:dyDescent="0.25">
      <c r="A11" s="28">
        <v>6</v>
      </c>
      <c r="B11" s="31">
        <f t="shared" si="1"/>
        <v>5.1026909085588157</v>
      </c>
      <c r="C11" s="31">
        <f t="shared" si="0"/>
        <v>3.4802821042074115</v>
      </c>
      <c r="D11" s="31">
        <f t="shared" si="0"/>
        <v>2.487422871456308</v>
      </c>
      <c r="E11" s="31">
        <f t="shared" si="0"/>
        <v>2.8744010781415881</v>
      </c>
      <c r="F11" s="31">
        <f t="shared" si="0"/>
        <v>4.2821829216649654</v>
      </c>
      <c r="G11" s="31">
        <f t="shared" si="0"/>
        <v>6.0342356260902408</v>
      </c>
      <c r="H11" s="31">
        <f t="shared" si="0"/>
        <v>7.9048661347143794</v>
      </c>
      <c r="I11" s="31">
        <f t="shared" si="0"/>
        <v>9.8265872826903564</v>
      </c>
      <c r="J11" s="31">
        <f t="shared" si="0"/>
        <v>11.774409821341765</v>
      </c>
      <c r="K11" s="31">
        <f t="shared" si="0"/>
        <v>13.737235371700049</v>
      </c>
    </row>
    <row r="12" spans="1:13" x14ac:dyDescent="0.25">
      <c r="A12" s="28">
        <v>8</v>
      </c>
      <c r="B12" s="31">
        <f t="shared" si="1"/>
        <v>7.0981175446535394</v>
      </c>
      <c r="C12" s="31">
        <f t="shared" si="0"/>
        <v>5.39905714297924</v>
      </c>
      <c r="D12" s="31">
        <f t="shared" si="0"/>
        <v>3.9895317254775571</v>
      </c>
      <c r="E12" s="31">
        <f t="shared" si="0"/>
        <v>3.2684719279854169</v>
      </c>
      <c r="F12" s="31">
        <f t="shared" si="0"/>
        <v>3.6673497378168705</v>
      </c>
      <c r="G12" s="31">
        <f t="shared" si="0"/>
        <v>4.9209754576610374</v>
      </c>
      <c r="H12" s="31">
        <f t="shared" si="0"/>
        <v>6.5561074434712419</v>
      </c>
      <c r="I12" s="31">
        <f t="shared" si="0"/>
        <v>8.3515920737171889</v>
      </c>
      <c r="J12" s="31">
        <f t="shared" si="0"/>
        <v>10.223288879867015</v>
      </c>
      <c r="K12" s="31">
        <f t="shared" si="0"/>
        <v>12.1359870169941</v>
      </c>
    </row>
    <row r="13" spans="1:13" x14ac:dyDescent="0.25">
      <c r="A13" s="28">
        <v>10</v>
      </c>
      <c r="B13" s="31">
        <f t="shared" si="1"/>
        <v>9.095553355741913</v>
      </c>
      <c r="C13" s="31">
        <f t="shared" si="0"/>
        <v>7.3612004823563897</v>
      </c>
      <c r="D13" s="31">
        <f t="shared" si="0"/>
        <v>5.8004701736790203</v>
      </c>
      <c r="E13" s="31">
        <f t="shared" si="0"/>
        <v>4.5938693853913479</v>
      </c>
      <c r="F13" s="31">
        <f t="shared" si="0"/>
        <v>4.0696213121532372</v>
      </c>
      <c r="G13" s="31">
        <f t="shared" si="0"/>
        <v>4.4743713880977527</v>
      </c>
      <c r="H13" s="31">
        <f t="shared" si="0"/>
        <v>5.6105419535837875</v>
      </c>
      <c r="I13" s="31">
        <f t="shared" si="0"/>
        <v>7.1369715361082786</v>
      </c>
      <c r="J13" s="31">
        <f t="shared" si="0"/>
        <v>8.8540693695902171</v>
      </c>
      <c r="K13" s="31">
        <f t="shared" si="0"/>
        <v>10.67017929070602</v>
      </c>
    </row>
    <row r="14" spans="1:13" x14ac:dyDescent="0.25">
      <c r="A14" s="28">
        <v>12</v>
      </c>
      <c r="B14" s="31">
        <f t="shared" si="1"/>
        <v>11.093913151660129</v>
      </c>
      <c r="C14" s="31">
        <f t="shared" si="0"/>
        <v>9.3394179181431181</v>
      </c>
      <c r="D14" s="31">
        <f t="shared" si="0"/>
        <v>7.7054879847345097</v>
      </c>
      <c r="E14" s="31">
        <f t="shared" si="0"/>
        <v>6.2868404716553012</v>
      </c>
      <c r="F14" s="31">
        <f t="shared" si="0"/>
        <v>5.2606255473278276</v>
      </c>
      <c r="G14" s="31">
        <f t="shared" si="0"/>
        <v>4.8809834236917213</v>
      </c>
      <c r="H14" s="31">
        <f t="shared" si="0"/>
        <v>5.2890280029045522</v>
      </c>
      <c r="I14" s="31">
        <f t="shared" si="0"/>
        <v>6.3343220038662125</v>
      </c>
      <c r="J14" s="31">
        <f t="shared" si="0"/>
        <v>7.7635979598262832</v>
      </c>
      <c r="K14" s="31">
        <f t="shared" si="0"/>
        <v>9.4033648932163629</v>
      </c>
    </row>
    <row r="15" spans="1:13" x14ac:dyDescent="0.25">
      <c r="A15" s="28">
        <v>14</v>
      </c>
      <c r="B15" s="31">
        <f t="shared" si="1"/>
        <v>13.092773853771675</v>
      </c>
      <c r="C15" s="31">
        <f t="shared" si="0"/>
        <v>11.325289469060891</v>
      </c>
      <c r="D15" s="31">
        <f t="shared" si="0"/>
        <v>9.649022537544198</v>
      </c>
      <c r="E15" s="31">
        <f t="shared" si="0"/>
        <v>8.1206582431506273</v>
      </c>
      <c r="F15" s="31">
        <f t="shared" si="0"/>
        <v>6.8400690547731005</v>
      </c>
      <c r="G15" s="31">
        <f t="shared" si="0"/>
        <v>5.9689194203037212</v>
      </c>
      <c r="H15" s="31">
        <f t="shared" si="0"/>
        <v>5.6981973832163169</v>
      </c>
      <c r="I15" s="31">
        <f t="shared" si="0"/>
        <v>6.1082655304192244</v>
      </c>
      <c r="J15" s="31">
        <f t="shared" si="0"/>
        <v>7.0818332486808782</v>
      </c>
      <c r="K15" s="31">
        <f t="shared" si="0"/>
        <v>8.4257828439935682</v>
      </c>
    </row>
    <row r="16" spans="1:13" x14ac:dyDescent="0.25">
      <c r="A16" s="28">
        <v>16</v>
      </c>
      <c r="B16" s="31">
        <f t="shared" si="1"/>
        <v>15.091936434912412</v>
      </c>
      <c r="C16" s="31">
        <f t="shared" si="0"/>
        <v>13.315390946807019</v>
      </c>
      <c r="D16" s="31">
        <f t="shared" si="0"/>
        <v>11.611749514056177</v>
      </c>
      <c r="E16" s="31">
        <f t="shared" si="0"/>
        <v>10.01827417712539</v>
      </c>
      <c r="F16" s="31">
        <f t="shared" si="0"/>
        <v>8.5964474173306584</v>
      </c>
      <c r="G16" s="31">
        <f t="shared" si="0"/>
        <v>7.4452668796897079</v>
      </c>
      <c r="H16" s="31">
        <f t="shared" si="0"/>
        <v>6.7056013615989762</v>
      </c>
      <c r="I16" s="31">
        <f t="shared" si="0"/>
        <v>6.5190628415096263</v>
      </c>
      <c r="J16" s="31">
        <f t="shared" si="0"/>
        <v>6.930459655926521</v>
      </c>
      <c r="K16" s="31">
        <f t="shared" si="0"/>
        <v>7.8462960531258776</v>
      </c>
    </row>
    <row r="17" spans="1:11" x14ac:dyDescent="0.25">
      <c r="A17" s="28">
        <v>18</v>
      </c>
      <c r="B17" s="31">
        <f t="shared" si="1"/>
        <v>17.091294963368526</v>
      </c>
      <c r="C17" s="31">
        <f t="shared" si="0"/>
        <v>15.308072725676446</v>
      </c>
      <c r="D17" s="31">
        <f t="shared" si="0"/>
        <v>13.585353054828271</v>
      </c>
      <c r="E17" s="31">
        <f t="shared" si="0"/>
        <v>11.949332394492362</v>
      </c>
      <c r="F17" s="31">
        <f t="shared" si="0"/>
        <v>10.440846312622236</v>
      </c>
      <c r="G17" s="31">
        <f t="shared" si="0"/>
        <v>9.1233765007002798</v>
      </c>
      <c r="H17" s="31">
        <f t="shared" si="0"/>
        <v>8.0907802975524437</v>
      </c>
      <c r="I17" s="31">
        <f t="shared" si="0"/>
        <v>7.4622686143689263</v>
      </c>
      <c r="J17" s="31">
        <f t="shared" si="0"/>
        <v>7.3423552027076626</v>
      </c>
      <c r="K17" s="31">
        <f t="shared" si="0"/>
        <v>7.7546700105459649</v>
      </c>
    </row>
    <row r="18" spans="1:11" x14ac:dyDescent="0.25">
      <c r="A18" s="28">
        <v>20</v>
      </c>
      <c r="B18" s="31">
        <f t="shared" si="1"/>
        <v>19.090787875158426</v>
      </c>
      <c r="C18" s="31">
        <f t="shared" si="0"/>
        <v>17.302443326966511</v>
      </c>
      <c r="D18" s="31">
        <f t="shared" si="0"/>
        <v>15.565696530238531</v>
      </c>
      <c r="E18" s="31">
        <f t="shared" si="0"/>
        <v>13.899901865123788</v>
      </c>
      <c r="F18" s="31">
        <f t="shared" si="0"/>
        <v>12.333841058188794</v>
      </c>
      <c r="G18" s="31">
        <f t="shared" si="0"/>
        <v>10.910545295137894</v>
      </c>
      <c r="H18" s="31">
        <f t="shared" si="0"/>
        <v>9.6931089969032929</v>
      </c>
      <c r="I18" s="31">
        <f t="shared" si="0"/>
        <v>8.7677092455463832</v>
      </c>
      <c r="J18" s="31">
        <f t="shared" si="0"/>
        <v>8.2334129498666222</v>
      </c>
      <c r="K18" s="31">
        <f t="shared" si="0"/>
        <v>8.1673405825656182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5" sqref="G5"/>
    </sheetView>
  </sheetViews>
  <sheetFormatPr defaultColWidth="8.85546875" defaultRowHeight="18" x14ac:dyDescent="0.25"/>
  <cols>
    <col min="1" max="3" width="8.85546875" style="6"/>
    <col min="4" max="6" width="10.85546875" style="6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 x14ac:dyDescent="0.3">
      <c r="A1" s="37" t="s">
        <v>32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.75" thickTop="1" x14ac:dyDescent="0.25"/>
    <row r="3" spans="1:22" x14ac:dyDescent="0.25">
      <c r="A3" s="42" t="s">
        <v>20</v>
      </c>
      <c r="B3" s="43"/>
      <c r="C3" s="44"/>
      <c r="D3" s="42" t="s">
        <v>22</v>
      </c>
      <c r="E3" s="43"/>
      <c r="F3" s="44"/>
      <c r="G3" s="16" t="s">
        <v>21</v>
      </c>
    </row>
    <row r="4" spans="1:22" x14ac:dyDescent="0.25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5">
      <c r="A5" s="8">
        <v>3</v>
      </c>
      <c r="B5" s="8">
        <v>4</v>
      </c>
      <c r="C5" s="8">
        <v>5</v>
      </c>
      <c r="D5" s="22" t="b">
        <f>IF(A5+B5&gt;C5,TRUE,FALSE)</f>
        <v>1</v>
      </c>
      <c r="E5" s="22" t="b">
        <f>IF(A5+C5&gt;B5,TRUE,FALSE)</f>
        <v>1</v>
      </c>
      <c r="F5" s="22" t="b">
        <f>IF(B5+C5&gt;A5,TRUE,FALSE)</f>
        <v>1</v>
      </c>
      <c r="G5" s="23" t="str">
        <f>IF(AND(D5,E5,F5)=TRUE,"jā","nē")</f>
        <v>jā</v>
      </c>
    </row>
    <row r="6" spans="1:22" x14ac:dyDescent="0.25">
      <c r="A6" s="8">
        <v>4</v>
      </c>
      <c r="B6" s="8">
        <v>2</v>
      </c>
      <c r="C6" s="8">
        <v>2</v>
      </c>
      <c r="D6" s="22" t="b">
        <f t="shared" ref="D6:D8" si="0">IF(A6+B6&gt;C6,TRUE,FALSE)</f>
        <v>1</v>
      </c>
      <c r="E6" s="22" t="b">
        <f t="shared" ref="E6:E8" si="1">IF(A6+C6&gt;B6,TRUE,FALSE)</f>
        <v>1</v>
      </c>
      <c r="F6" s="22" t="b">
        <f t="shared" ref="F6:F8" si="2">IF(B6+C6&gt;A6,TRUE,FALSE)</f>
        <v>0</v>
      </c>
      <c r="G6" s="23" t="str">
        <f t="shared" ref="G6:G8" si="3">IF(AND(D6,E6,F6)=TRUE,"jā","nē")</f>
        <v>nē</v>
      </c>
    </row>
    <row r="7" spans="1:22" x14ac:dyDescent="0.25">
      <c r="A7" s="8">
        <v>1</v>
      </c>
      <c r="B7" s="8">
        <v>2</v>
      </c>
      <c r="C7" s="8">
        <v>3</v>
      </c>
      <c r="D7" s="22" t="b">
        <f t="shared" si="0"/>
        <v>0</v>
      </c>
      <c r="E7" s="22" t="b">
        <f t="shared" si="1"/>
        <v>1</v>
      </c>
      <c r="F7" s="22" t="b">
        <f t="shared" si="2"/>
        <v>1</v>
      </c>
      <c r="G7" s="23" t="str">
        <f t="shared" si="3"/>
        <v>nē</v>
      </c>
    </row>
    <row r="8" spans="1:22" x14ac:dyDescent="0.25">
      <c r="A8" s="8">
        <v>20</v>
      </c>
      <c r="B8" s="8">
        <v>14</v>
      </c>
      <c r="C8" s="8">
        <v>12</v>
      </c>
      <c r="D8" s="22" t="b">
        <f t="shared" si="0"/>
        <v>1</v>
      </c>
      <c r="E8" s="22" t="b">
        <f t="shared" si="1"/>
        <v>1</v>
      </c>
      <c r="F8" s="22" t="b">
        <f t="shared" si="2"/>
        <v>1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E9" sqref="E9"/>
    </sheetView>
  </sheetViews>
  <sheetFormatPr defaultRowHeight="18" x14ac:dyDescent="0.25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 x14ac:dyDescent="0.3">
      <c r="A1" s="37" t="s">
        <v>33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.75" thickTop="1" x14ac:dyDescent="0.25"/>
    <row r="3" spans="1:22" s="11" customFormat="1" ht="49.15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5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D4&amp;"!"</f>
        <v>Aij!</v>
      </c>
      <c r="K4" s="15"/>
    </row>
    <row r="5" spans="1:22" x14ac:dyDescent="0.25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D5&amp;"!"</f>
        <v>Dac!</v>
      </c>
      <c r="K5" s="15"/>
    </row>
    <row r="6" spans="1:22" x14ac:dyDescent="0.25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Jāni!</v>
      </c>
      <c r="K6" s="15"/>
    </row>
    <row r="7" spans="1:22" x14ac:dyDescent="0.25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Mārtiņ!</v>
      </c>
      <c r="K7" s="15"/>
    </row>
    <row r="8" spans="1:22" x14ac:dyDescent="0.25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>D8&amp;C8&amp;"!"</f>
        <v>Ivo!</v>
      </c>
      <c r="K8" s="15"/>
    </row>
    <row r="9" spans="1:22" x14ac:dyDescent="0.25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Sandi!</v>
      </c>
      <c r="K9" s="15"/>
    </row>
    <row r="10" spans="1:22" x14ac:dyDescent="0.25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Dāvi!</v>
      </c>
      <c r="K10" s="15"/>
    </row>
    <row r="11" spans="1:22" x14ac:dyDescent="0.25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Kārli!</v>
      </c>
      <c r="K11" s="15"/>
    </row>
    <row r="12" spans="1:22" x14ac:dyDescent="0.25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Markus!</v>
      </c>
      <c r="K12" s="15"/>
    </row>
    <row r="13" spans="1:22" x14ac:dyDescent="0.25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Mārci!</v>
      </c>
      <c r="K13" s="15"/>
    </row>
    <row r="14" spans="1:22" x14ac:dyDescent="0.25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>D14&amp;C14&amp;"!"</f>
        <v>Mikus!</v>
      </c>
    </row>
    <row r="15" spans="1:22" x14ac:dyDescent="0.25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Klāv!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B5" sqref="B5"/>
    </sheetView>
  </sheetViews>
  <sheetFormatPr defaultColWidth="8.85546875" defaultRowHeight="18" x14ac:dyDescent="0.25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 x14ac:dyDescent="0.3">
      <c r="A1" s="37" t="s">
        <v>34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.75" thickTop="1" x14ac:dyDescent="0.25"/>
    <row r="3" spans="1:22" ht="34.15" customHeight="1" x14ac:dyDescent="0.25">
      <c r="A3" s="5" t="s">
        <v>1</v>
      </c>
      <c r="B3" s="5" t="s">
        <v>2</v>
      </c>
    </row>
    <row r="4" spans="1:22" x14ac:dyDescent="0.25">
      <c r="A4" s="7">
        <v>25</v>
      </c>
      <c r="B4" s="23" t="str">
        <f>IF(AND(RIGHT(A4,1)="1",A4&lt;&gt;11)=TRUE,"cents","centi")</f>
        <v>centi</v>
      </c>
    </row>
    <row r="5" spans="1:22" x14ac:dyDescent="0.25">
      <c r="A5" s="8">
        <v>1</v>
      </c>
      <c r="B5" s="23" t="str">
        <f t="shared" ref="B5:B13" si="0">IF(AND(RIGHT(A5,1)="1",A5&lt;&gt;11)=TRUE,"cents","centi")</f>
        <v>cents</v>
      </c>
    </row>
    <row r="6" spans="1:22" x14ac:dyDescent="0.25">
      <c r="A6" s="8">
        <v>2</v>
      </c>
      <c r="B6" s="23" t="str">
        <f t="shared" si="0"/>
        <v>centi</v>
      </c>
    </row>
    <row r="7" spans="1:22" x14ac:dyDescent="0.25">
      <c r="A7" s="8">
        <v>9</v>
      </c>
      <c r="B7" s="23" t="str">
        <f t="shared" si="0"/>
        <v>centi</v>
      </c>
    </row>
    <row r="8" spans="1:22" x14ac:dyDescent="0.25">
      <c r="A8" s="8">
        <v>10</v>
      </c>
      <c r="B8" s="23" t="str">
        <f t="shared" si="0"/>
        <v>centi</v>
      </c>
    </row>
    <row r="9" spans="1:22" x14ac:dyDescent="0.25">
      <c r="A9" s="8">
        <v>11</v>
      </c>
      <c r="B9" s="23" t="str">
        <f t="shared" si="0"/>
        <v>centi</v>
      </c>
    </row>
    <row r="10" spans="1:22" x14ac:dyDescent="0.25">
      <c r="A10" s="8">
        <v>12</v>
      </c>
      <c r="B10" s="23" t="str">
        <f t="shared" si="0"/>
        <v>centi</v>
      </c>
    </row>
    <row r="11" spans="1:22" x14ac:dyDescent="0.25">
      <c r="A11" s="8">
        <v>21</v>
      </c>
      <c r="B11" s="23" t="str">
        <f t="shared" si="0"/>
        <v>cents</v>
      </c>
    </row>
    <row r="12" spans="1:22" x14ac:dyDescent="0.25">
      <c r="A12" s="8">
        <v>99</v>
      </c>
      <c r="B12" s="23" t="str">
        <f t="shared" si="0"/>
        <v>centi</v>
      </c>
    </row>
    <row r="13" spans="1:22" x14ac:dyDescent="0.25">
      <c r="A13" s="8">
        <v>91</v>
      </c>
      <c r="B13" s="23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22"/>
  <sheetViews>
    <sheetView tabSelected="1" workbookViewId="0">
      <selection activeCell="F22" sqref="F22"/>
    </sheetView>
  </sheetViews>
  <sheetFormatPr defaultRowHeight="15" x14ac:dyDescent="0.25"/>
  <cols>
    <col min="1" max="1" width="26.85546875" customWidth="1"/>
    <col min="6" max="6" width="10.85546875" bestFit="1" customWidth="1"/>
  </cols>
  <sheetData>
    <row r="1" spans="1:8" ht="18" customHeight="1" x14ac:dyDescent="0.25">
      <c r="A1" s="33" t="s">
        <v>35</v>
      </c>
      <c r="B1" s="33"/>
      <c r="C1" s="33"/>
      <c r="D1" s="33"/>
    </row>
    <row r="2" spans="1:8" ht="18" customHeight="1" x14ac:dyDescent="0.25">
      <c r="A2" s="34" t="s">
        <v>25</v>
      </c>
      <c r="B2" s="33">
        <v>10</v>
      </c>
      <c r="C2" s="33"/>
      <c r="D2" s="33"/>
    </row>
    <row r="3" spans="1:8" ht="18" customHeight="1" x14ac:dyDescent="0.25">
      <c r="A3" s="45" t="s">
        <v>49</v>
      </c>
      <c r="B3" s="45"/>
      <c r="C3" s="45"/>
      <c r="D3" s="45"/>
      <c r="E3" s="45"/>
      <c r="F3" s="45"/>
      <c r="G3" s="45"/>
      <c r="H3" s="45"/>
    </row>
    <row r="4" spans="1:8" ht="18" customHeight="1" x14ac:dyDescent="0.25"/>
    <row r="5" spans="1:8" ht="18" customHeight="1" x14ac:dyDescent="0.25"/>
    <row r="6" spans="1:8" ht="18" customHeight="1" thickBot="1" x14ac:dyDescent="0.3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5">
      <c r="A7" s="33" t="s">
        <v>47</v>
      </c>
      <c r="F7" s="36">
        <f>F16-F15</f>
        <v>2000.0000000000005</v>
      </c>
    </row>
    <row r="8" spans="1:8" ht="18" customHeight="1" x14ac:dyDescent="0.25">
      <c r="A8" s="46" t="s">
        <v>46</v>
      </c>
      <c r="B8" s="46"/>
      <c r="C8" s="46"/>
      <c r="F8" s="36">
        <f>10*F11*2+B2^2+B2^2</f>
        <v>341.42135623730951</v>
      </c>
    </row>
    <row r="9" spans="1:8" ht="18" customHeight="1" x14ac:dyDescent="0.25"/>
    <row r="10" spans="1:8" ht="18" customHeight="1" x14ac:dyDescent="0.25">
      <c r="A10" s="46" t="s">
        <v>45</v>
      </c>
      <c r="B10" s="46"/>
      <c r="C10" s="46"/>
    </row>
    <row r="11" spans="1:8" ht="18" customHeight="1" x14ac:dyDescent="0.25">
      <c r="A11" s="46" t="s">
        <v>44</v>
      </c>
      <c r="B11" s="46"/>
      <c r="C11" s="46"/>
      <c r="F11" s="36">
        <f>(SQRT(2)/2*$B$2)</f>
        <v>7.0710678118654755</v>
      </c>
    </row>
    <row r="12" spans="1:8" ht="18" customHeight="1" x14ac:dyDescent="0.25">
      <c r="A12" s="46" t="s">
        <v>43</v>
      </c>
      <c r="B12" s="46"/>
      <c r="C12" s="46"/>
      <c r="F12" s="36">
        <f>SQRT(2)/2*$B$2*3</f>
        <v>21.213203435596427</v>
      </c>
    </row>
    <row r="13" spans="1:8" ht="18" customHeight="1" x14ac:dyDescent="0.25">
      <c r="A13" s="46" t="s">
        <v>42</v>
      </c>
      <c r="B13" s="46"/>
      <c r="C13" s="46"/>
      <c r="F13" s="36">
        <f>(SQRT(2)/2*$B$2)^2/2</f>
        <v>25.000000000000004</v>
      </c>
    </row>
    <row r="14" spans="1:8" ht="18" customHeight="1" x14ac:dyDescent="0.25">
      <c r="A14" s="46" t="s">
        <v>41</v>
      </c>
      <c r="B14" s="46"/>
      <c r="C14" s="46"/>
      <c r="F14" s="36">
        <f>(SQRT(2)/2*$B$2*3)^2/2</f>
        <v>225.00000000000003</v>
      </c>
    </row>
    <row r="15" spans="1:8" ht="18" customHeight="1" x14ac:dyDescent="0.25">
      <c r="A15" s="46" t="s">
        <v>40</v>
      </c>
      <c r="B15" s="46"/>
      <c r="C15" s="46"/>
      <c r="D15" s="46"/>
      <c r="E15" s="47"/>
      <c r="F15" s="36">
        <f>F13*10</f>
        <v>250.00000000000003</v>
      </c>
    </row>
    <row r="16" spans="1:8" ht="18" customHeight="1" x14ac:dyDescent="0.25">
      <c r="A16" s="46" t="s">
        <v>39</v>
      </c>
      <c r="B16" s="46"/>
      <c r="C16" s="46"/>
      <c r="F16" s="36">
        <f>(F14*10)</f>
        <v>2250.0000000000005</v>
      </c>
    </row>
    <row r="17" spans="1:7" x14ac:dyDescent="0.25">
      <c r="A17" s="35"/>
      <c r="B17" s="35"/>
      <c r="C17" s="35"/>
    </row>
    <row r="18" spans="1:7" x14ac:dyDescent="0.25">
      <c r="A18" s="35"/>
      <c r="B18" s="35"/>
      <c r="C18" s="35"/>
    </row>
    <row r="19" spans="1:7" ht="19.5" x14ac:dyDescent="0.25">
      <c r="A19" s="46"/>
      <c r="B19" s="46"/>
      <c r="C19" s="46"/>
    </row>
    <row r="22" spans="1:7" x14ac:dyDescent="0.25">
      <c r="G22" s="48"/>
    </row>
  </sheetData>
  <mergeCells count="10">
    <mergeCell ref="A13:C13"/>
    <mergeCell ref="A14:C14"/>
    <mergeCell ref="A16:C16"/>
    <mergeCell ref="A19:C19"/>
    <mergeCell ref="A15:E15"/>
    <mergeCell ref="A3:H3"/>
    <mergeCell ref="A8:C8"/>
    <mergeCell ref="A10:C10"/>
    <mergeCell ref="A11:C11"/>
    <mergeCell ref="A12:C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Props1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Anrijs Piliksers</cp:lastModifiedBy>
  <dcterms:created xsi:type="dcterms:W3CDTF">2021-10-27T13:59:32Z</dcterms:created>
  <dcterms:modified xsi:type="dcterms:W3CDTF">2025-12-05T11:03:27Z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